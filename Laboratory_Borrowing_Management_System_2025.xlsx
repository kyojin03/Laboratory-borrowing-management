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Chemical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57B8"/>
        <bgColor rgb="000057B8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2286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Course</t>
        </is>
      </c>
      <c r="E1" s="1" t="inlineStr">
        <is>
          <t>Department</t>
        </is>
      </c>
      <c r="F1" s="1" t="inlineStr">
        <is>
          <t>Date Reserved</t>
        </is>
      </c>
      <c r="G1" s="1" t="inlineStr">
        <is>
          <t>Date Borrowed</t>
        </is>
      </c>
      <c r="H1" s="1" t="inlineStr">
        <is>
          <t>Equipment Name</t>
        </is>
      </c>
      <c r="I1" s="1" t="inlineStr">
        <is>
          <t>Status</t>
        </is>
      </c>
    </row>
    <row r="2">
      <c r="A2" s="2" t="inlineStr">
        <is>
          <t>2025-11-10 09:15</t>
        </is>
      </c>
      <c r="B2" s="2" t="inlineStr">
        <is>
          <t>Alice Reyes</t>
        </is>
      </c>
      <c r="C2" s="2" t="inlineStr">
        <is>
          <t>Chem Lab 1</t>
        </is>
      </c>
      <c r="D2" s="2" t="inlineStr">
        <is>
          <t>BS Chemistry</t>
        </is>
      </c>
      <c r="E2" s="2" t="inlineStr">
        <is>
          <t>Science Dept</t>
        </is>
      </c>
      <c r="F2" s="2" t="inlineStr">
        <is>
          <t>2025-11-10</t>
        </is>
      </c>
      <c r="G2" s="2" t="inlineStr">
        <is>
          <t>2025-11-11</t>
        </is>
      </c>
      <c r="H2" s="2" t="inlineStr">
        <is>
          <t>Microscope</t>
        </is>
      </c>
      <c r="I2" s="2" t="inlineStr">
        <is>
          <t>Borrowed</t>
        </is>
      </c>
    </row>
    <row r="3">
      <c r="A3" s="2" t="inlineStr">
        <is>
          <t>2025-11-08 14:00</t>
        </is>
      </c>
      <c r="B3" s="2" t="inlineStr">
        <is>
          <t>Bob Santos</t>
        </is>
      </c>
      <c r="C3" s="2" t="inlineStr">
        <is>
          <t>Bio Project</t>
        </is>
      </c>
      <c r="D3" s="2" t="inlineStr">
        <is>
          <t>BS Biology</t>
        </is>
      </c>
      <c r="E3" s="2" t="inlineStr">
        <is>
          <t>Biology Dept</t>
        </is>
      </c>
      <c r="F3" s="2" t="inlineStr">
        <is>
          <t>2025-11-08</t>
        </is>
      </c>
      <c r="G3" s="2" t="inlineStr">
        <is>
          <t>2025-11-09</t>
        </is>
      </c>
      <c r="H3" s="2" t="inlineStr">
        <is>
          <t>microscope</t>
        </is>
      </c>
      <c r="I3" s="2" t="inlineStr">
        <is>
          <t>Returned</t>
        </is>
      </c>
    </row>
    <row r="4">
      <c r="A4" s="2" t="inlineStr">
        <is>
          <t>2025-11-09 10:30</t>
        </is>
      </c>
      <c r="B4" s="2" t="inlineStr">
        <is>
          <t>Carla Lim</t>
        </is>
      </c>
      <c r="C4" s="2" t="inlineStr">
        <is>
          <t>Physics Demo</t>
        </is>
      </c>
      <c r="D4" s="2" t="inlineStr">
        <is>
          <t>BS Physics</t>
        </is>
      </c>
      <c r="E4" s="2" t="inlineStr">
        <is>
          <t>Physics Dept</t>
        </is>
      </c>
      <c r="F4" s="2" t="inlineStr">
        <is>
          <t>2025-11-09</t>
        </is>
      </c>
      <c r="G4" s="2" t="inlineStr">
        <is>
          <t>2025-11-09</t>
        </is>
      </c>
      <c r="H4" s="2" t="inlineStr">
        <is>
          <t>Oscilloscope</t>
        </is>
      </c>
      <c r="I4" s="2" t="inlineStr">
        <is>
          <t>Borrowed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Timestamp</t>
        </is>
      </c>
      <c r="B1" s="1" t="inlineStr">
        <is>
          <t>Faculty Name</t>
        </is>
      </c>
      <c r="C1" s="1" t="inlineStr">
        <is>
          <t>Date Reserved</t>
        </is>
      </c>
      <c r="D1" s="1" t="inlineStr">
        <is>
          <t>Chemical/Reagent Name</t>
        </is>
      </c>
      <c r="E1" s="1" t="inlineStr">
        <is>
          <t>Quantity</t>
        </is>
      </c>
      <c r="F1" s="1" t="inlineStr">
        <is>
          <t>Status</t>
        </is>
      </c>
    </row>
    <row r="2">
      <c r="A2" s="2" t="inlineStr">
        <is>
          <t>2025-11-10 09:20</t>
        </is>
      </c>
      <c r="B2" s="2" t="inlineStr">
        <is>
          <t>Dr. Mendoza</t>
        </is>
      </c>
      <c r="C2" s="2" t="inlineStr">
        <is>
          <t>2025-11-11</t>
        </is>
      </c>
      <c r="D2" s="2" t="inlineStr">
        <is>
          <t>Hydrochloric Acid</t>
        </is>
      </c>
      <c r="E2" s="2" t="inlineStr">
        <is>
          <t>500 mL</t>
        </is>
      </c>
      <c r="F2" s="2" t="inlineStr">
        <is>
          <t>Used</t>
        </is>
      </c>
    </row>
    <row r="3">
      <c r="A3" s="2" t="inlineStr">
        <is>
          <t>2025-11-09 08:45</t>
        </is>
      </c>
      <c r="B3" s="2" t="inlineStr">
        <is>
          <t>Dr. Cruz</t>
        </is>
      </c>
      <c r="C3" s="2" t="inlineStr">
        <is>
          <t>2025-11-09</t>
        </is>
      </c>
      <c r="D3" s="2" t="inlineStr">
        <is>
          <t>Sodium Chloride</t>
        </is>
      </c>
      <c r="E3" s="2" t="inlineStr">
        <is>
          <t>200 g</t>
        </is>
      </c>
      <c r="F3" s="2" t="inlineStr">
        <is>
          <t>Used</t>
        </is>
      </c>
    </row>
    <row r="4">
      <c r="A4" s="2" t="inlineStr">
        <is>
          <t>2025-11-07 11:00</t>
        </is>
      </c>
      <c r="B4" s="2" t="inlineStr">
        <is>
          <t>Prof. Lee</t>
        </is>
      </c>
      <c r="C4" s="2" t="inlineStr">
        <is>
          <t>2025-11-07</t>
        </is>
      </c>
      <c r="D4" s="2" t="inlineStr">
        <is>
          <t>Hydrochloric acid</t>
        </is>
      </c>
      <c r="E4" s="2" t="inlineStr">
        <is>
          <t>100 mL</t>
        </is>
      </c>
      <c r="F4" s="2" t="inlineStr">
        <is>
          <t>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GSC Laboratory Borrowing Dashboard (Equipment &amp; Chemicals)</t>
        </is>
      </c>
    </row>
    <row r="3">
      <c r="A3" t="inlineStr">
        <is>
          <t>Total Equipment Borrowed:</t>
        </is>
      </c>
      <c r="B3">
        <f>COUNTIF(LOWER(Equipment!I2:I),"borrowed")</f>
        <v/>
      </c>
    </row>
    <row r="4">
      <c r="A4" t="inlineStr">
        <is>
          <t>Total Equipment Returned:</t>
        </is>
      </c>
      <c r="B4">
        <f>COUNTIF(LOWER(Equipment!I2:I),"returned")</f>
        <v/>
      </c>
    </row>
    <row r="5">
      <c r="A5" t="inlineStr">
        <is>
          <t>Most Borrowed Equipment:</t>
        </is>
      </c>
      <c r="B5">
        <f>INDEX(UNIQUE(LOWER(FILTER(Equipment!H2:H,Equipment!H2:H&lt;&gt;""))),MATCH(MAX(COUNTIF(LOWER(Equipment!H2:H),UNIQUE(LOWER(FILTER(Equipment!H2:H,Equipment!H2:H&lt;&gt;""))))),COUNTIF(LOWER(Equipment!H2:H),UNIQUE(LOWER(FILTER(Equipment!H2:H,Equipment!H2:H&lt;&gt;"")))),0))</f>
        <v/>
      </c>
    </row>
    <row r="7">
      <c r="A7" t="inlineStr">
        <is>
          <t>Total Chemicals Requested:</t>
        </is>
      </c>
      <c r="B7">
        <f>COUNTA(Chemicals!D2:D)</f>
        <v/>
      </c>
    </row>
    <row r="8">
      <c r="A8" t="inlineStr">
        <is>
          <t>Most Requested Chemical:</t>
        </is>
      </c>
      <c r="B8">
        <f>INDEX(UNIQUE(LOWER(FILTER(Chemicals!D2:D,Chemicals!D2:D&lt;&gt;""))),MATCH(MAX(COUNTIF(LOWER(Chemicals!D2:D),UNIQUE(LOWER(FILTER(Chemicals!D2:D,Chemicals!D2:D&lt;&gt;""))))),COUNTIF(LOWER(Chemicals!D2:D),UNIQUE(LOWER(FILTER(Chemicals!D2:D,Chemicals!D2:D&lt;&gt;"")))),0))</f>
        <v/>
      </c>
    </row>
    <row r="10">
      <c r="A10" t="inlineStr">
        <is>
          <t>Last Updated:</t>
        </is>
      </c>
      <c r="B10">
        <f>TODAY()</f>
        <v/>
      </c>
    </row>
    <row r="12">
      <c r="A12" t="inlineStr">
        <is>
          <t>Logo: replace 'GS.png' in the repo or in the Sheet image area.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2025-11-13T06:56:59Z</dcterms:created>
  <dcterms:modified xmlns:dcterms="http://purl.org/dc/terms/" xmlns:xsi="http://www.w3.org/2001/XMLSchema-instance" xsi:type="dcterms:W3CDTF">2025-11-13T06:56:59Z</dcterms:modified>
</cp:coreProperties>
</file>